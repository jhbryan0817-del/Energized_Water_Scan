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f8f40e58a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rgized Water Scanner" sheetId="1" r:id="R0d13f7dd973b48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000"/>
  </x:numFmts>
  <x:fonts count="3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2036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d5b548038415d" /><Relationship Type="http://schemas.openxmlformats.org/officeDocument/2006/relationships/theme" Target="/xl/theme/theme1.xml" Id="R5816704d21d84af2" /><Relationship Type="http://schemas.openxmlformats.org/officeDocument/2006/relationships/sharedStrings" Target="/xl/sharedStrings.xml" Id="R4dfb85472efb4a27" /><Relationship Type="http://schemas.openxmlformats.org/officeDocument/2006/relationships/worksheet" Target="/xl/worksheets/sheet1.xml" Id="R0d13f7dd973b48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4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22" hidden="0" customWidth="1"/>
    <x:col min="8" max="8" width="26" hidden="0" customWidth="1"/>
    <x:col min="9" max="9" width="16" hidden="0" customWidth="1"/>
    <x:col min="10" max="10" width="16" hidden="0" customWidth="1"/>
    <x:col min="11" max="11" width="32" hidden="0" customWidth="1"/>
    <x:col min="12" max="12" width="76" hidden="0" customWidth="1"/>
  </x:cols>
  <x:sheetData>
    <x:row r="1" ht="34" customHeight="1">
      <x:c r="A1" s="17" t="str">
        <x:v>Name</x:v>
      </x:c>
      <x:c r="B1" s="17" t="str">
        <x:v>Quantity</x:v>
      </x:c>
      <x:c r="C1" s="17" t="str">
        <x:v>Unit price CNY</x:v>
      </x:c>
      <x:c r="D1" s="17" t="str">
        <x:v>Unit price HKD</x:v>
      </x:c>
      <x:c r="E1" s="17" t="str">
        <x:v>Total HKD</x:v>
      </x:c>
      <x:c r="F1" s="17" t="str">
        <x:v>Source / search reference</x:v>
      </x:c>
      <x:c r="G1" s="17" t="str">
        <x:v>Purpose</x:v>
      </x:c>
      <x:c r="H1" s="17" t="str">
        <x:v>Priced subtotal HKD</x:v>
      </x:c>
      <x:c r="I1" s="17" t="str">
        <x:v>CNY to HKD</x:v>
      </x:c>
      <x:c r="J1" s="17" t="str">
        <x:v>USD to HKD</x:v>
      </x:c>
      <x:c r="K1" s="17" t="str">
        <x:v>Status</x:v>
      </x:c>
      <x:c r="L1" s="17" t="str">
        <x:v>Notes</x:v>
      </x:c>
    </x:row>
    <x:row r="2" ht="66" customHeight="1">
      <x:c r="A2" s="13" t="str">
        <x:v>Espressif ESP32-DevKitC V4</x:v>
      </x:c>
      <x:c r="B2" s="18" t="n">
        <x:v>1</x:v>
      </x:c>
      <x:c r="C2" s="21" t="n">
        <x:f>10*$J$2/$I$2</x:f>
        <x:v>67.12523426869656</x:v>
      </x:c>
      <x:c r="D2" s="21" t="n">
        <x:f>IF(C2="","",C2*$I$2)</x:f>
        <x:v>78.43785</x:v>
      </x:c>
      <x:c r="E2" s="21" t="n">
        <x:f>IF(C2="","",B2*D2)</x:f>
        <x:v>78.43785</x:v>
      </x:c>
      <x:c r="F2" s="13" t="str">
        <x:v>ESP32-DevKitC V4 乐鑫 原装 开发板</x:v>
      </x:c>
      <x:c r="G2" s="13" t="str">
        <x:v>Both</x:v>
      </x:c>
      <x:c r="H2" s="21" t="n">
        <x:f>SUM(E2:E80)</x:f>
        <x:v>889.485219</x:v>
      </x:c>
      <x:c r="I2" s="24" t="n">
        <x:v>1.16853</x:v>
      </x:c>
      <x:c r="J2" s="24" t="n">
        <x:v>7.843785</x:v>
      </x:c>
      <x:c r="K2" s="13" t="str">
        <x:v>Fit verification required</x:v>
      </x:c>
      <x:c r="L2" s="13" t="str">
        <x:v>Existing sheet price estimate retained; not a verified current quotation.</x:v>
      </x:c>
    </x:row>
    <x:row r="3" ht="66" customHeight="1">
      <x:c r="A3" s="14" t="str">
        <x:v>Adafruit ADS1115 PID 1085 STEMMA QT/Qwiic ADC</x:v>
      </x:c>
      <x:c r="B3" s="19" t="n">
        <x:v>1</x:v>
      </x:c>
      <x:c r="C3" s="22" t="n">
        <x:f>14.95*$J$2/$I$2</x:f>
        <x:v>100.35222523170135</x:v>
      </x:c>
      <x:c r="D3" s="22" t="n">
        <x:f>IF(C3="","",C3*$I$2)</x:f>
        <x:v>117.26458575</x:v>
      </x:c>
      <x:c r="E3" s="22" t="n">
        <x:f>IF(C3="","",B3*D3)</x:f>
        <x:v>117.26458575</x:v>
      </x:c>
      <x:c r="F3" s="14" t="str">
        <x:v>Adafruit 1085 ADS1115 STEMMA QT Qwiic</x:v>
      </x:c>
      <x:c r="G3" s="14" t="str">
        <x:v>Electricity detection</x:v>
      </x:c>
      <x:c r="H3" s="14" t="str">
        <x:v>Unpriced lines</x:v>
      </x:c>
      <x:c r="I3" s="14"/>
      <x:c r="J3" s="14"/>
      <x:c r="K3" s="14" t="str">
        <x:v>Fit verification required</x:v>
      </x:c>
      <x:c r="L3" s="14" t="str">
        <x:v>Existing sheet price estimate retained; not a verified current quotation.</x:v>
      </x:c>
    </x:row>
    <x:row r="4" ht="66" customHeight="1">
      <x:c r="A4" s="13" t="str">
        <x:v>Pololu D24V10F5 item 2831 5V 1A regulator</x:v>
      </x:c>
      <x:c r="B4" s="18" t="n">
        <x:v>1</x:v>
      </x:c>
      <x:c r="C4" s="21" t="n">
        <x:f>12.95*$J$2/$I$2</x:f>
        <x:v>86.92717837796204</x:v>
      </x:c>
      <x:c r="D4" s="21" t="n">
        <x:f>IF(C4="","",C4*$I$2)</x:f>
        <x:v>101.57701574999999</x:v>
      </x:c>
      <x:c r="E4" s="21" t="n">
        <x:f>IF(C4="","",B4*D4)</x:f>
        <x:v>101.57701574999999</x:v>
      </x:c>
      <x:c r="F4" s="13" t="str">
        <x:v>Pololu 2831 D24V10F5 5V 1A 降压模块</x:v>
      </x:c>
      <x:c r="G4" s="13" t="str">
        <x:v>Both</x:v>
      </x:c>
      <x:c r="H4" s="13" t="n">
        <x:f>COUNTBLANK(C2:C80)</x:f>
        <x:v>67</x:v>
      </x:c>
      <x:c r="I4" s="13"/>
      <x:c r="J4" s="13"/>
      <x:c r="K4" s="13" t="str">
        <x:v>Fit verification required</x:v>
      </x:c>
      <x:c r="L4" s="13" t="str">
        <x:v>Existing sheet price estimate retained; not a verified current quotation.</x:v>
      </x:c>
    </x:row>
    <x:row r="5" ht="66" customHeight="1">
      <x:c r="A5" s="15" t="str">
        <x:v>Hobbywing QuicRun WP-1625 brushed ESC (30120000)</x:v>
      </x:c>
      <x:c r="B5" s="20" t="n">
        <x:v>1</x:v>
      </x:c>
      <x:c r="C5" s="23" t="n">
        <x:f>20*$J$2/$I$2</x:f>
        <x:v>134.25046853739312</x:v>
      </x:c>
      <x:c r="D5" s="23" t="n">
        <x:f>IF(C5="","",C5*$I$2)</x:f>
        <x:v>156.8757</x:v>
      </x:c>
      <x:c r="E5" s="23" t="n">
        <x:f>IF(C5="","",B5*D5)</x:f>
        <x:v>156.8757</x:v>
      </x:c>
      <x:c r="F5" s="15" t="str">
        <x:v>Hobbywing QuicRun WP-1625 30120000 有刷电调</x:v>
      </x:c>
      <x:c r="G5" s="15" t="str">
        <x:v>RC boat</x:v>
      </x:c>
      <x:c r="H5" s="15" t="str">
        <x:v>Rev E1, 29 Sep 2026</x:v>
      </x:c>
      <x:c r="I5" s="15"/>
      <x:c r="J5" s="15"/>
      <x:c r="K5" s="15" t="str">
        <x:v>Fit verification required</x:v>
      </x:c>
      <x:c r="L5" s="15" t="str">
        <x:v>Existing sheet price estimate retained; not a verified current quotation.</x:v>
      </x:c>
    </x:row>
    <x:row r="6" ht="66" customHeight="1">
      <x:c r="A6" s="15" t="str">
        <x:v>Mabuchi RS-380PH-4045 motor</x:v>
      </x:c>
      <x:c r="B6" s="20" t="n">
        <x:v>1</x:v>
      </x:c>
      <x:c r="C6" s="23" t="n">
        <x:f>10*$J$2/$I$2</x:f>
        <x:v>67.12523426869656</x:v>
      </x:c>
      <x:c r="D6" s="23" t="n">
        <x:f>IF(C6="","",C6*$I$2)</x:f>
        <x:v>78.43785</x:v>
      </x:c>
      <x:c r="E6" s="23" t="n">
        <x:f>IF(C6="","",B6*D6)</x:f>
        <x:v>78.43785</x:v>
      </x:c>
      <x:c r="F6" s="15" t="str">
        <x:v>Mabuchi RS-380PH-4045 万宝至 马达</x:v>
      </x:c>
      <x:c r="G6" s="15" t="str">
        <x:v>RC boat</x:v>
      </x:c>
      <x:c r="H6" s="15" t="str">
        <x:v>Partial estimate only</x:v>
      </x:c>
      <x:c r="I6" s="15"/>
      <x:c r="J6" s="15"/>
      <x:c r="K6" s="15" t="str">
        <x:v>Fit verification required</x:v>
      </x:c>
      <x:c r="L6" s="15" t="str">
        <x:v>Existing sheet price estimate retained; not a verified current quotation.</x:v>
      </x:c>
    </x:row>
    <x:row r="7" ht="66" customHeight="1">
      <x:c r="A7" s="15" t="str">
        <x:v>Krick 65220 Eco M2 shaft/stern tube assembly</x:v>
      </x:c>
      <x:c r="B7" s="20" t="n">
        <x:v>1</x:v>
      </x:c>
      <x:c r="C7" s="23" t="n">
        <x:f>6.5*$J$2/$I$2</x:f>
        <x:v>43.631402274652764</x:v>
      </x:c>
      <x:c r="D7" s="23" t="n">
        <x:f>IF(C7="","",C7*$I$2)</x:f>
        <x:v>50.984602499999994</x:v>
      </x:c>
      <x:c r="E7" s="23" t="n">
        <x:f>IF(C7="","",B7*D7)</x:f>
        <x:v>50.984602499999994</x:v>
      </x:c>
      <x:c r="F7" s="15" t="str">
        <x:v>Krick 65220 M2 153mm 船轴 艉轴套件</x:v>
      </x:c>
      <x:c r="G7" s="15" t="str">
        <x:v>RC boat</x:v>
      </x:c>
      <x:c r="H7" s="15" t="str">
        <x:v>FX snapshot: original sheet</x:v>
      </x:c>
      <x:c r="I7" s="15"/>
      <x:c r="J7" s="15"/>
      <x:c r="K7" s="15" t="str">
        <x:v>HOLD: internal shaft sealing</x:v>
      </x:c>
      <x:c r="L7" s="15" t="str">
        <x:v>Qualify shaft-to-tube sealing/lubrication separately from hull bond. Price estimate unchanged.</x:v>
      </x:c>
    </x:row>
    <x:row r="8" ht="66" customHeight="1">
      <x:c r="A8" s="15" t="str">
        <x:v>Krick 63800 bridge coupling connector</x:v>
      </x:c>
      <x:c r="B8" s="20" t="n">
        <x:v>1</x:v>
      </x:c>
      <x:c r="C8" s="23" t="n">
        <x:f>5.5*$J$2/$I$2</x:f>
        <x:v>36.918878847783105</x:v>
      </x:c>
      <x:c r="D8" s="23" t="n">
        <x:f>IF(C8="","",C8*$I$2)</x:f>
        <x:v>43.1408175</x:v>
      </x:c>
      <x:c r="E8" s="23" t="n">
        <x:f>IF(C8="","",B8*D8)</x:f>
        <x:v>43.1408175</x:v>
      </x:c>
      <x:c r="F8" s="15" t="str">
        <x:v>Krick 63800 船模 联轴器 连接件</x:v>
      </x:c>
      <x:c r="G8" s="15" t="str">
        <x:v>RC boat</x:v>
      </x:c>
      <x:c r="H8" s="15"/>
      <x:c r="I8" s="15"/>
      <x:c r="J8" s="15"/>
      <x:c r="K8" s="15" t="str">
        <x:v>Fit verification required</x:v>
      </x:c>
      <x:c r="L8" s="15" t="str">
        <x:v>Existing sheet price estimate retained; not a verified current quotation.</x:v>
      </x:c>
    </x:row>
    <x:row r="9" ht="66" customHeight="1">
      <x:c r="A9" s="15" t="str">
        <x:v>Krick 63823 2.3 mm coupling insert</x:v>
      </x:c>
      <x:c r="B9" s="20" t="n">
        <x:v>1</x:v>
      </x:c>
      <x:c r="C9" s="23" t="n">
        <x:f>3.75*$J$2/$I$2</x:f>
        <x:v>25.17196285076121</x:v>
      </x:c>
      <x:c r="D9" s="23" t="n">
        <x:f>IF(C9="","",C9*$I$2)</x:f>
        <x:v>29.41419375</x:v>
      </x:c>
      <x:c r="E9" s="23" t="n">
        <x:f>IF(C9="","",B9*D9)</x:f>
        <x:v>29.41419375</x:v>
      </x:c>
      <x:c r="F9" s="15" t="str">
        <x:v>Krick 63823 2.3mm 联轴器 接头</x:v>
      </x:c>
      <x:c r="G9" s="15" t="str">
        <x:v>RC boat</x:v>
      </x:c>
      <x:c r="H9" s="15"/>
      <x:c r="I9" s="15"/>
      <x:c r="J9" s="15"/>
      <x:c r="K9" s="15" t="str">
        <x:v>Fit verification required</x:v>
      </x:c>
      <x:c r="L9" s="15" t="str">
        <x:v>Existing sheet price estimate retained; not a verified current quotation.</x:v>
      </x:c>
    </x:row>
    <x:row r="10" ht="66" customHeight="1">
      <x:c r="A10" s="15" t="str">
        <x:v>Krick 63820 2.0 mm coupling insert</x:v>
      </x:c>
      <x:c r="B10" s="20" t="n">
        <x:v>1</x:v>
      </x:c>
      <x:c r="C10" s="23" t="n">
        <x:f>3.75*$J$2/$I$2</x:f>
        <x:v>25.17196285076121</x:v>
      </x:c>
      <x:c r="D10" s="23" t="n">
        <x:f>IF(C10="","",C10*$I$2)</x:f>
        <x:v>29.41419375</x:v>
      </x:c>
      <x:c r="E10" s="23" t="n">
        <x:f>IF(C10="","",B10*D10)</x:f>
        <x:v>29.41419375</x:v>
      </x:c>
      <x:c r="F10" s="15" t="str">
        <x:v>Krick 63820 2.0mm 联轴器 接头</x:v>
      </x:c>
      <x:c r="G10" s="15" t="str">
        <x:v>RC boat</x:v>
      </x:c>
      <x:c r="H10" s="15"/>
      <x:c r="I10" s="15"/>
      <x:c r="J10" s="15"/>
      <x:c r="K10" s="15" t="str">
        <x:v>Fit verification required</x:v>
      </x:c>
      <x:c r="L10" s="15" t="str">
        <x:v>Existing sheet price estimate retained; not a verified current quotation.</x:v>
      </x:c>
    </x:row>
    <x:row r="11" ht="66" customHeight="1">
      <x:c r="A11" s="15" t="str">
        <x:v>Krick/Graupner 2307.30 propeller, 30 mm RH M2</x:v>
      </x:c>
      <x:c r="B11" s="20" t="n">
        <x:v>1</x:v>
      </x:c>
      <x:c r="C11" s="23" t="n">
        <x:f>5*$J$2/$I$2</x:f>
        <x:v>33.56261713434828</x:v>
      </x:c>
      <x:c r="D11" s="23" t="n">
        <x:f>IF(C11="","",C11*$I$2)</x:f>
        <x:v>39.218925</x:v>
      </x:c>
      <x:c r="E11" s="23" t="n">
        <x:f>IF(C11="","",B11*D11)</x:f>
        <x:v>39.218925</x:v>
      </x:c>
      <x:c r="F11" s="15" t="str">
        <x:v>Graupner Krick 2307.30 30mm M2 右旋 三叶螺旋桨</x:v>
      </x:c>
      <x:c r="G11" s="15" t="str">
        <x:v>RC boat</x:v>
      </x:c>
      <x:c r="H11" s="15"/>
      <x:c r="I11" s="15"/>
      <x:c r="J11" s="15"/>
      <x:c r="K11" s="15" t="str">
        <x:v>Fit verification required</x:v>
      </x:c>
      <x:c r="L11" s="15" t="str">
        <x:v>Existing sheet price estimate retained; not a verified current quotation.</x:v>
      </x:c>
    </x:row>
    <x:row r="12" ht="66" customHeight="1">
      <x:c r="A12" s="15" t="str">
        <x:v>Genuine TowerPro SG90 Digital servo</x:v>
      </x:c>
      <x:c r="B12" s="20" t="n">
        <x:v>1</x:v>
      </x:c>
      <x:c r="C12" s="23" t="n">
        <x:f>5*$J$2/$I$2</x:f>
        <x:v>33.56261713434828</x:v>
      </x:c>
      <x:c r="D12" s="23" t="n">
        <x:f>IF(C12="","",C12*$I$2)</x:f>
        <x:v>39.218925</x:v>
      </x:c>
      <x:c r="E12" s="23" t="n">
        <x:f>IF(C12="","",B12*D12)</x:f>
        <x:v>39.218925</x:v>
      </x:c>
      <x:c r="F12" s="15" t="str">
        <x:v>TowerPro SG90 Digital 正品 数字舵机</x:v>
      </x:c>
      <x:c r="G12" s="15" t="str">
        <x:v>RC boat</x:v>
      </x:c>
      <x:c r="H12" s="15"/>
      <x:c r="I12" s="15"/>
      <x:c r="J12" s="15"/>
      <x:c r="K12" s="15" t="str">
        <x:v>Fit verification required</x:v>
      </x:c>
      <x:c r="L12" s="15" t="str">
        <x:v>Existing sheet price estimate retained; not a verified current quotation. Steering servo only; actual horn and travel require verification.</x:v>
      </x:c>
    </x:row>
    <x:row r="13" ht="66" customHeight="1">
      <x:c r="A13" s="13" t="str">
        <x:v>Gens Ace GEA222S30X6GT 2200 mAh 2S 30C XT60 LiPo</x:v>
      </x:c>
      <x:c r="B13" s="18" t="n">
        <x:v>1</x:v>
      </x:c>
      <x:c r="C13" s="21" t="n">
        <x:f>16*$J$2/$I$2</x:f>
        <x:v>107.4003748299145</x:v>
      </x:c>
      <x:c r="D13" s="21" t="n">
        <x:f>IF(C13="","",C13*$I$2)</x:f>
        <x:v>125.50056</x:v>
      </x:c>
      <x:c r="E13" s="21" t="n">
        <x:f>IF(C13="","",B13*D13)</x:f>
        <x:v>125.50056</x:v>
      </x:c>
      <x:c r="F13" s="13" t="str">
        <x:v>Gens Ace GEA222S30X6GT 2S 2200mAh 30C XT60 航模电池</x:v>
      </x:c>
      <x:c r="G13" s="13" t="str">
        <x:v>Both</x:v>
      </x:c>
      <x:c r="H13" s="13"/>
      <x:c r="I13" s="13"/>
      <x:c r="J13" s="13"/>
      <x:c r="K13" s="13" t="str">
        <x:v>Fit verification required</x:v>
      </x:c>
      <x:c r="L13" s="13" t="str">
        <x:v>Existing sheet price estimate retained; not a verified current quotation.</x:v>
      </x:c>
    </x:row>
    <x:row r="14" ht="66" customHeight="1">
      <x:c r="A14" s="14" t="str">
        <x:v>Protected electrode analog front-end set</x:v>
      </x:c>
      <x:c r="B14" s="19" t="n">
        <x:v>1</x:v>
      </x:c>
      <x:c r="C14" s="22"/>
      <x:c r="D14" s="22" t="str">
        <x:f>IF(C14="","",C14*$I$2)</x:f>
      </x:c>
      <x:c r="E14" s="22" t="str">
        <x:f>IF(C14="","",B14*D14)</x:f>
      </x:c>
      <x:c r="F14" s="14" t="str">
        <x:v>499k / 100k resistors, BAT54S clamps, filters and bias network</x:v>
      </x:c>
      <x:c r="G14" s="14" t="str">
        <x:v>Electricity detection</x:v>
      </x:c>
      <x:c r="H14" s="14"/>
      <x:c r="I14" s="14"/>
      <x:c r="J14" s="14"/>
      <x:c r="K14" s="14" t="str">
        <x:v>HOLD: circuit/protection validation</x:v>
      </x:c>
      <x:c r="L14" s="14" t="str">
        <x:v>40 x 30 x 12 mm allocation; resistor/clamp/filter quantities await validated schematic. Old blanket price not carried forward.</x:v>
      </x:c>
    </x:row>
    <x:row r="15" ht="66" customHeight="1">
      <x:c r="A15" s="14" t="str">
        <x:v>Hitec HS-65HB probe servo with supplied horn</x:v>
      </x:c>
      <x:c r="B15" s="19" t="n">
        <x:v>4</x:v>
      </x:c>
      <x:c r="C15" s="22"/>
      <x:c r="D15" s="22" t="str">
        <x:f>IF(C15="","",C15*$I$2)</x:f>
      </x:c>
      <x:c r="E15" s="22" t="str">
        <x:f>IF(C15="","",B15*D15)</x:f>
      </x:c>
      <x:c r="F15" s="14" t="str">
        <x:v>https://www.hiteccs.com/public/uploads/data_sheet/HCS_HS-65HB_Specsheetv2.2_10-1729887930.pdf</x:v>
      </x:c>
      <x:c r="G15" s="14" t="str">
        <x:v>Electricity detection</x:v>
      </x:c>
      <x:c r="H15" s="14"/>
      <x:c r="I15" s="14"/>
      <x:c r="J15" s="14"/>
      <x:c r="K15" s="14" t="str">
        <x:v>Fit verification required</x:v>
      </x:c>
      <x:c r="L15" s="14" t="str">
        <x:v>Dry only; additional to steering servo. Horn-to-pulley adapter must match actual supplied horn.</x:v>
      </x:c>
    </x:row>
    <x:row r="16" ht="66" customHeight="1">
      <x:c r="A16" s="14" t="str">
        <x:v>Pololu D24V50F5 5 V probe-servo regulator /2851</x:v>
      </x:c>
      <x:c r="B16" s="19" t="n">
        <x:v>1</x:v>
      </x:c>
      <x:c r="C16" s="22"/>
      <x:c r="D16" s="22" t="str">
        <x:f>IF(C16="","",C16*$I$2)</x:f>
      </x:c>
      <x:c r="E16" s="22" t="str">
        <x:f>IF(C16="","",B16*D16)</x:f>
      </x:c>
      <x:c r="F16" s="14" t="str">
        <x:v>https://www.pololu.com/product/2851</x:v>
      </x:c>
      <x:c r="G16" s="14" t="str">
        <x:v>Electricity detection</x:v>
      </x:c>
      <x:c r="H16" s="14"/>
      <x:c r="I16" s="14"/>
      <x:c r="J16" s="14"/>
      <x:c r="K16" s="14" t="str">
        <x:v>Fit verification required</x:v>
      </x:c>
      <x:c r="L16" s="14" t="str">
        <x:v>Dedicated probe rail; do not parallel regulator outputs or use ESC 1 A BEC for four probes.</x:v>
      </x:c>
    </x:row>
    <x:row r="17" ht="66" customHeight="1">
      <x:c r="A17" s="14" t="str">
        <x:v>SKF 6 x 16 x 7 HMSA10 RG radial seal</x:v>
      </x:c>
      <x:c r="B17" s="19" t="n">
        <x:v>4</x:v>
      </x:c>
      <x:c r="C17" s="22"/>
      <x:c r="D17" s="22" t="str">
        <x:f>IF(C17="","",C17*$I$2)</x:f>
      </x:c>
      <x:c r="E17" s="22" t="str">
        <x:f>IF(C17="","",B17*D17)</x:f>
      </x:c>
      <x:c r="F17" s="14" t="str">
        <x:v>https://www.skf.com/mm/09433a92e9164581</x:v>
      </x:c>
      <x:c r="G17" s="14" t="str">
        <x:v>Electricity detection</x:v>
      </x:c>
      <x:c r="H17" s="14"/>
      <x:c r="I17" s="14"/>
      <x:c r="J17" s="14"/>
      <x:c r="K17" s="14" t="str">
        <x:v>HOLD: water-duty qualification</x:v>
      </x:c>
      <x:c r="L17" s="14" t="str">
        <x:v>Nominal candidate; water duty, lubricant, spring, shaft finish and seal drag not qualified.</x:v>
      </x:c>
    </x:row>
    <x:row r="18" ht="66" customHeight="1">
      <x:c r="A18" s="14" t="str">
        <x:v>igus GFM-0608-06 flanged shaft bushing</x:v>
      </x:c>
      <x:c r="B18" s="19" t="n">
        <x:v>4</x:v>
      </x:c>
      <x:c r="C18" s="22"/>
      <x:c r="D18" s="22" t="str">
        <x:f>IF(C18="","",C18*$I$2)</x:f>
      </x:c>
      <x:c r="E18" s="22" t="str">
        <x:f>IF(C18="","",B18*D18)</x:f>
      </x:c>
      <x:c r="F18" s="14" t="str">
        <x:v>https://www.igus.com/ContentData/Products/Downloads/iglide_G300_FM_USen.pdf</x:v>
      </x:c>
      <x:c r="G18" s="14" t="str">
        <x:v>Electricity detection</x:v>
      </x:c>
      <x:c r="H18" s="14"/>
      <x:c r="I18" s="14"/>
      <x:c r="J18" s="14"/>
      <x:c r="K18" s="14" t="str">
        <x:v>Fit verification required</x:v>
      </x:c>
      <x:c r="L18" s="14" t="str">
        <x:v>6 mm shaft / 8 mm housing, 12 mm flange; verify installed fits.</x:v>
      </x:c>
    </x:row>
    <x:row r="19" ht="66" customHeight="1">
      <x:c r="A19" s="14" t="str">
        <x:v>Machined POM-C probe seal cartridge</x:v>
      </x:c>
      <x:c r="B19" s="19" t="n">
        <x:v>4</x:v>
      </x:c>
      <x:c r="C19" s="22"/>
      <x:c r="D19" s="22" t="str">
        <x:f>IF(C19="","",C19*$I$2)</x:f>
      </x:c>
      <x:c r="E19" s="22" t="str">
        <x:f>IF(C19="","",B19*D19)</x:f>
      </x:c>
      <x:c r="F19" s="14" t="str"/>
      <x:c r="G19" s="14" t="str">
        <x:v>Electricity detection</x:v>
      </x:c>
      <x:c r="H19" s="14"/>
      <x:c r="I19" s="14"/>
      <x:c r="J19" s="14"/>
      <x:c r="K19" s="14" t="str">
        <x:v>HOLD: machining drawing</x:v>
      </x:c>
      <x:c r="L19" s="14" t="str">
        <x:v>Two forward and two rear geometries; use current STEP. Precision tolerances and counterfaces require release. Do not print seal seats.</x:v>
      </x:c>
    </x:row>
    <x:row r="20" ht="66" customHeight="1">
      <x:c r="A20" s="14" t="str">
        <x:v>Cartridge face gasket, 1 mm silicone sheet</x:v>
      </x:c>
      <x:c r="B20" s="19" t="n">
        <x:v>4</x:v>
      </x:c>
      <x:c r="C20" s="22"/>
      <x:c r="D20" s="22" t="str">
        <x:f>IF(C20="","",C20*$I$2)</x:f>
      </x:c>
      <x:c r="E20" s="22" t="str">
        <x:f>IF(C20="","",B20*D20)</x:f>
      </x:c>
      <x:c r="F20" s="14" t="str">
        <x:v>https://www.polymax.co.uk/media/documents/Datasheet/platinum-cured-silicone-sheet-clear-1000-1-3043956.pdf</x:v>
      </x:c>
      <x:c r="G20" s="14" t="str">
        <x:v>Electricity detection</x:v>
      </x:c>
      <x:c r="H20" s="14"/>
      <x:c r="I20" s="14"/>
      <x:c r="J20" s="14"/>
      <x:c r="K20" s="14" t="str">
        <x:v>Fit verification required</x:v>
      </x:c>
      <x:c r="L20" s="14" t="str">
        <x:v>CAD compressed thickness 0.75 mm; retain complete closed perimeter. Polymax 3043956 candidate.</x:v>
      </x:c>
    </x:row>
    <x:row r="21" ht="66" customHeight="1">
      <x:c r="A21" s="14" t="str">
        <x:v>316 stainless probe output shaft, diameter 6 mm</x:v>
      </x:c>
      <x:c r="B21" s="19" t="n">
        <x:v>4</x:v>
      </x:c>
      <x:c r="C21" s="22"/>
      <x:c r="D21" s="22" t="str">
        <x:f>IF(C21="","",C21*$I$2)</x:f>
      </x:c>
      <x:c r="E21" s="22" t="str">
        <x:f>IF(C21="","",B21*D21)</x:f>
      </x:c>
      <x:c r="F21" s="14" t="str"/>
      <x:c r="G21" s="14" t="str">
        <x:v>Electricity detection</x:v>
      </x:c>
      <x:c r="H21" s="14"/>
      <x:c r="I21" s="14"/>
      <x:c r="J21" s="14"/>
      <x:c r="K21" s="14" t="str">
        <x:v>HOLD: shaft interface</x:v>
      </x:c>
      <x:c r="L21" s="14" t="str">
        <x:v>Two 34 mm and two 35 mm nominal lengths; use matching CAD. Surface finish, coupling and axial retention require release.</x:v>
      </x:c>
    </x:row>
    <x:row r="22" ht="66" customHeight="1">
      <x:c r="A22" s="14" t="str">
        <x:v>316 stainless arm cross-pin, diameter 2 x 22 mm</x:v>
      </x:c>
      <x:c r="B22" s="19" t="n">
        <x:v>4</x:v>
      </x:c>
      <x:c r="C22" s="22"/>
      <x:c r="D22" s="22" t="str">
        <x:f>IF(C22="","",C22*$I$2)</x:f>
      </x:c>
      <x:c r="E22" s="22" t="str">
        <x:f>IF(C22="","",B22*D22)</x:f>
      </x:c>
      <x:c r="F22" s="14" t="str"/>
      <x:c r="G22" s="14" t="str">
        <x:v>Electricity detection</x:v>
      </x:c>
      <x:c r="H22" s="14"/>
      <x:c r="I22" s="14"/>
      <x:c r="J22" s="14"/>
      <x:c r="K22" s="14" t="str">
        <x:v>HOLD: pin retention</x:v>
      </x:c>
      <x:c r="L22" s="14" t="str">
        <x:v>Retained-pin solution and installation access must be proven.</x:v>
      </x:c>
    </x:row>
    <x:row r="23" ht="66" customHeight="1">
      <x:c r="A23" s="14" t="str">
        <x:v>A4 stainless DIN84 M4 x 12 tip electrode screw</x:v>
      </x:c>
      <x:c r="B23" s="19" t="n">
        <x:v>4</x:v>
      </x:c>
      <x:c r="C23" s="22"/>
      <x:c r="D23" s="22" t="str">
        <x:f>IF(C23="","",C23*$I$2)</x:f>
      </x:c>
      <x:c r="E23" s="22" t="str">
        <x:f>IF(C23="","",B23*D23)</x:f>
      </x:c>
      <x:c r="F23" s="14" t="str">
        <x:v>https://www.trfastenings.com/Products/Catalogue/Screws-and-Bolts/Machine-Screws/Cheese-Head/Slotted-Drive/TR00007556</x:v>
      </x:c>
      <x:c r="G23" s="14" t="str">
        <x:v>Electricity detection</x:v>
      </x:c>
      <x:c r="H23" s="14"/>
      <x:c r="I23" s="14"/>
      <x:c r="J23" s="14"/>
      <x:c r="K23" s="14" t="str">
        <x:v>Fit verification required</x:v>
      </x:c>
      <x:c r="L23" s="14" t="str">
        <x:v>Replaces fixed-hull electrode bolt set; nominal head diameter 7 x 2.6 mm.</x:v>
      </x:c>
    </x:row>
    <x:row r="24" ht="66" customHeight="1">
      <x:c r="A24" s="14" t="str">
        <x:v>A4 DIN934 M4 tip nut</x:v>
      </x:c>
      <x:c r="B24" s="19" t="n">
        <x:v>4</x:v>
      </x:c>
      <x:c r="C24" s="22"/>
      <x:c r="D24" s="22" t="str">
        <x:f>IF(C24="","",C24*$I$2)</x:f>
      </x:c>
      <x:c r="E24" s="22" t="str">
        <x:f>IF(C24="","",B24*D24)</x:f>
      </x:c>
      <x:c r="F24" s="14" t="str"/>
      <x:c r="G24" s="14" t="str">
        <x:v>Electricity detection</x:v>
      </x:c>
      <x:c r="H24" s="14"/>
      <x:c r="I24" s="14"/>
      <x:c r="J24" s="14"/>
      <x:c r="K24" s="14" t="str">
        <x:v>Fit verification required</x:v>
      </x:c>
      <x:c r="L24" s="14" t="str">
        <x:v>Verify actual nut and terminal stack fits the arm-tip potting pocket.</x:v>
      </x:c>
    </x:row>
    <x:row r="25" ht="66" customHeight="1">
      <x:c r="A25" s="14" t="str">
        <x:v>M4 tip electrical terminal</x:v>
      </x:c>
      <x:c r="B25" s="19" t="n">
        <x:v>4</x:v>
      </x:c>
      <x:c r="C25" s="22"/>
      <x:c r="D25" s="22" t="str">
        <x:f>IF(C25="","",C25*$I$2)</x:f>
      </x:c>
      <x:c r="E25" s="22" t="str">
        <x:f>IF(C25="","",B25*D25)</x:f>
      </x:c>
      <x:c r="F25" s="14" t="str"/>
      <x:c r="G25" s="14" t="str">
        <x:v>Electricity detection</x:v>
      </x:c>
      <x:c r="H25" s="14"/>
      <x:c r="I25" s="14"/>
      <x:c r="J25" s="14"/>
      <x:c r="K25" s="14" t="str">
        <x:v>HOLD: actual terminal fit</x:v>
      </x:c>
      <x:c r="L25" s="14" t="str">
        <x:v>Select to fit diameter 9 mm pocket and wire; no old large hull lug substitution.</x:v>
      </x:c>
    </x:row>
    <x:row r="26" ht="66" customHeight="1">
      <x:c r="A26" s="14" t="str">
        <x:v>20-tooth, 2 mm pitch, 6 mm belt-width pulley</x:v>
      </x:c>
      <x:c r="B26" s="19" t="n">
        <x:v>8</x:v>
      </x:c>
      <x:c r="C26" s="22"/>
      <x:c r="D26" s="22" t="str">
        <x:f>IF(C26="","",C26*$I$2)</x:f>
      </x:c>
      <x:c r="E26" s="22" t="str">
        <x:f>IF(C26="","",B26*D26)</x:f>
      </x:c>
      <x:c r="F26" s="14" t="str"/>
      <x:c r="G26" s="14" t="str">
        <x:v>Electricity detection</x:v>
      </x:c>
      <x:c r="H26" s="14"/>
      <x:c r="I26" s="14"/>
      <x:c r="J26" s="14"/>
      <x:c r="K26" s="14" t="str">
        <x:v>HOLD: select timing transmission</x:v>
      </x:c>
      <x:c r="L26" s="14" t="str">
        <x:v>Smooth CAD allocations only; matched supplier profile, bore and retention remain unresolved.</x:v>
      </x:c>
    </x:row>
    <x:row r="27" ht="66" customHeight="1">
      <x:c r="A27" s="14" t="str">
        <x:v>96 mm nominal pitch-length x 6 mm timing belt</x:v>
      </x:c>
      <x:c r="B27" s="19" t="n">
        <x:v>4</x:v>
      </x:c>
      <x:c r="C27" s="22"/>
      <x:c r="D27" s="22" t="str">
        <x:f>IF(C27="","",C27*$I$2)</x:f>
      </x:c>
      <x:c r="E27" s="22" t="str">
        <x:f>IF(C27="","",B27*D27)</x:f>
      </x:c>
      <x:c r="F27" s="14" t="str"/>
      <x:c r="G27" s="14" t="str">
        <x:v>Electricity detection</x:v>
      </x:c>
      <x:c r="H27" s="14"/>
      <x:c r="I27" s="14"/>
      <x:c r="J27" s="14"/>
      <x:c r="K27" s="14" t="str">
        <x:v>HOLD: select timing transmission</x:v>
      </x:c>
      <x:c r="L27" s="14" t="str">
        <x:v>28 mm centers and 1:1 ratio are allocations; confirm actual supplier availability/tension.</x:v>
      </x:c>
    </x:row>
    <x:row r="28" ht="66" customHeight="1">
      <x:c r="A28" s="14" t="str">
        <x:v>Upper journal bushing, OD8 / ID6 x 6 mm</x:v>
      </x:c>
      <x:c r="B28" s="19" t="n">
        <x:v>4</x:v>
      </x:c>
      <x:c r="C28" s="22"/>
      <x:c r="D28" s="22" t="str">
        <x:f>IF(C28="","",C28*$I$2)</x:f>
      </x:c>
      <x:c r="E28" s="22" t="str">
        <x:f>IF(C28="","",B28*D28)</x:f>
      </x:c>
      <x:c r="F28" s="14" t="str"/>
      <x:c r="G28" s="14" t="str">
        <x:v>Electricity detection</x:v>
      </x:c>
      <x:c r="H28" s="14"/>
      <x:c r="I28" s="14"/>
      <x:c r="J28" s="14"/>
      <x:c r="K28" s="14" t="str">
        <x:v>HOLD: journal interface</x:v>
      </x:c>
      <x:c r="L28" s="14" t="str">
        <x:v>Radial-load support allocation; select actual bearing/fit/retention.</x:v>
      </x:c>
    </x:row>
    <x:row r="29" ht="66" customHeight="1">
      <x:c r="A29" s="14" t="str">
        <x:v>Upper journal shaft, diameter 6 mm</x:v>
      </x:c>
      <x:c r="B29" s="19" t="n">
        <x:v>4</x:v>
      </x:c>
      <x:c r="C29" s="22"/>
      <x:c r="D29" s="22" t="str">
        <x:f>IF(C29="","",C29*$I$2)</x:f>
      </x:c>
      <x:c r="E29" s="22" t="str">
        <x:f>IF(C29="","",B29*D29)</x:f>
      </x:c>
      <x:c r="F29" s="14" t="str"/>
      <x:c r="G29" s="14" t="str">
        <x:v>Electricity detection</x:v>
      </x:c>
      <x:c r="H29" s="14"/>
      <x:c r="I29" s="14"/>
      <x:c r="J29" s="14"/>
      <x:c r="K29" s="14" t="str">
        <x:v>HOLD: journal interface</x:v>
      </x:c>
      <x:c r="L29" s="14" t="str">
        <x:v>Use station-specific CAD length; axial retention and pulley interfaces not released.</x:v>
      </x:c>
    </x:row>
    <x:row r="30" ht="66" customHeight="1">
      <x:c r="A30" s="14" t="str">
        <x:v>Stock servo horn-to-pulley adapter</x:v>
      </x:c>
      <x:c r="B30" s="19" t="n">
        <x:v>4</x:v>
      </x:c>
      <x:c r="C30" s="22"/>
      <x:c r="D30" s="22" t="str">
        <x:f>IF(C30="","",C30*$I$2)</x:f>
      </x:c>
      <x:c r="E30" s="22" t="str">
        <x:f>IF(C30="","",B30*D30)</x:f>
      </x:c>
      <x:c r="F30" s="14" t="str"/>
      <x:c r="G30" s="14" t="str">
        <x:v>Electricity detection</x:v>
      </x:c>
      <x:c r="H30" s="14"/>
      <x:c r="I30" s="14"/>
      <x:c r="J30" s="14"/>
      <x:c r="K30" s="14" t="str">
        <x:v>HOLD: design after horn survey</x:v>
      </x:c>
      <x:c r="L30" s="14" t="str">
        <x:v>Requires actual Micro25T horn survey; no printable spline supplied.</x:v>
      </x:c>
    </x:row>
    <x:row r="31" ht="66" customHeight="1">
      <x:c r="A31" s="14" t="str">
        <x:v>3M DP270 potting compound</x:v>
      </x:c>
      <x:c r="B31" s="19" t="n">
        <x:v>1</x:v>
      </x:c>
      <x:c r="C31" s="22"/>
      <x:c r="D31" s="22" t="str">
        <x:f>IF(C31="","",C31*$I$2)</x:f>
      </x:c>
      <x:c r="E31" s="22" t="str">
        <x:f>IF(C31="","",B31*D31)</x:f>
      </x:c>
      <x:c r="F31" s="14" t="str">
        <x:v>https://multimedia.3m.com/mws/media/1235390O/dp270-technical-data-sheets.pdf</x:v>
      </x:c>
      <x:c r="G31" s="14" t="str">
        <x:v>Electricity detection</x:v>
      </x:c>
      <x:c r="H31" s="14"/>
      <x:c r="I31" s="14"/>
      <x:c r="J31" s="14"/>
      <x:c r="K31" s="14" t="str">
        <x:v>HOLD: wet bond qualification</x:v>
      </x:c>
      <x:c r="L31" s="14" t="str">
        <x:v>One consumable lot, quantity to dispense TBD. Four stepped roof plugs now modeled, plus four tip encapsulations; qualify jacket/PETG adhesion and immersion.</x:v>
      </x:c>
    </x:row>
    <x:row r="32" ht="66" customHeight="1">
      <x:c r="A32" s="14" t="str">
        <x:v>Flexible insulated electrode lead</x:v>
      </x:c>
      <x:c r="B32" s="19" t="n">
        <x:v>4</x:v>
      </x:c>
      <x:c r="C32" s="22"/>
      <x:c r="D32" s="22" t="str">
        <x:f>IF(C32="","",C32*$I$2)</x:f>
      </x:c>
      <x:c r="E32" s="22" t="str">
        <x:f>IF(C32="","",B32*D32)</x:f>
      </x:c>
      <x:c r="F32" s="14" t="str">
        <x:v>https://www.alphawire.com/en/products/wire/hook-up-wire/premium/1854</x:v>
      </x:c>
      <x:c r="G32" s="14" t="str">
        <x:v>Electricity detection</x:v>
      </x:c>
      <x:c r="H32" s="14"/>
      <x:c r="I32" s="14"/>
      <x:c r="J32" s="14"/>
      <x:c r="K32" s="14" t="str">
        <x:v>HOLD: flex/immersion qualification</x:v>
      </x:c>
      <x:c r="L32" s="14" t="str">
        <x:v>Four runs; cut lengths on assembled prototype. OD1.12 mm candidate used for feedthrough envelope; underwater flex life unqualified.</x:v>
      </x:c>
    </x:row>
    <x:row r="33" ht="66" customHeight="1">
      <x:c r="A33" s="14" t="str">
        <x:v>Probe-servo service connectors and fused harness</x:v>
      </x:c>
      <x:c r="B33" s="19" t="n">
        <x:v>1</x:v>
      </x:c>
      <x:c r="C33" s="22"/>
      <x:c r="D33" s="22" t="str">
        <x:f>IF(C33="","",C33*$I$2)</x:f>
      </x:c>
      <x:c r="E33" s="22" t="str">
        <x:f>IF(C33="","",B33*D33)</x:f>
      </x:c>
      <x:c r="F33" s="14" t="str"/>
      <x:c r="G33" s="14" t="str">
        <x:v>Electricity detection</x:v>
      </x:c>
      <x:c r="H33" s="14"/>
      <x:c r="I33" s="14"/>
      <x:c r="J33" s="14"/>
      <x:c r="K33" s="14" t="str">
        <x:v>HOLD: harness selection</x:v>
      </x:c>
      <x:c r="L33" s="14" t="str">
        <x:v>One harness set with four keyed disconnects, strain relief, fuse and jam shutdown; gauge/rating/part numbers TBD.</x:v>
      </x:c>
    </x:row>
    <x:row r="34" ht="66" customHeight="1">
      <x:c r="A34" s="14" t="str">
        <x:v>ADC / controller signal harness</x:v>
      </x:c>
      <x:c r="B34" s="19" t="n">
        <x:v>1</x:v>
      </x:c>
      <x:c r="C34" s="22"/>
      <x:c r="D34" s="22" t="str">
        <x:f>IF(C34="","",C34*$I$2)</x:f>
      </x:c>
      <x:c r="E34" s="22" t="str">
        <x:f>IF(C34="","",B34*D34)</x:f>
      </x:c>
      <x:c r="F34" s="14" t="str"/>
      <x:c r="G34" s="14" t="str">
        <x:v>Electricity detection</x:v>
      </x:c>
      <x:c r="H34" s="14"/>
      <x:c r="I34" s="14"/>
      <x:c r="J34" s="14"/>
      <x:c r="K34" s="14" t="str">
        <x:v>HOLD: harness selection</x:v>
      </x:c>
      <x:c r="L34" s="14" t="str">
        <x:v>One set; selected connectors and lead lengths TBD. Magnetometer and its dedicated lead removed.</x:v>
      </x:c>
    </x:row>
    <x:row r="35" ht="66" customHeight="1">
      <x:c r="A35" s="13" t="str">
        <x:v>Shared fused battery distribution harness</x:v>
      </x:c>
      <x:c r="B35" s="18" t="n">
        <x:v>1</x:v>
      </x:c>
      <x:c r="C35" s="21"/>
      <x:c r="D35" s="21" t="str">
        <x:f>IF(C35="","",C35*$I$2)</x:f>
      </x:c>
      <x:c r="E35" s="21" t="str">
        <x:f>IF(C35="","",B35*D35)</x:f>
      </x:c>
      <x:c r="F35" s="13" t="str"/>
      <x:c r="G35" s="13" t="str">
        <x:v>Both</x:v>
      </x:c>
      <x:c r="H35" s="13"/>
      <x:c r="I35" s="13"/>
      <x:c r="J35" s="13"/>
      <x:c r="K35" s="13" t="str">
        <x:v>HOLD: harness/protection selection</x:v>
      </x:c>
      <x:c r="L35" s="13" t="str">
        <x:v>XT60 battery input, isolated power branches, switch, fuse, wire and heat-shrink; ratings/parts TBD.</x:v>
      </x:c>
    </x:row>
    <x:row r="36" ht="66" customHeight="1">
      <x:c r="A36" s="15" t="str">
        <x:v>ESC adapter and motor terminations</x:v>
      </x:c>
      <x:c r="B36" s="20" t="n">
        <x:v>1</x:v>
      </x:c>
      <x:c r="C36" s="23"/>
      <x:c r="D36" s="23" t="str">
        <x:f>IF(C36="","",C36*$I$2)</x:f>
      </x:c>
      <x:c r="E36" s="23" t="str">
        <x:f>IF(C36="","",B36*D36)</x:f>
      </x:c>
      <x:c r="F36" s="15" t="str"/>
      <x:c r="G36" s="15" t="str">
        <x:v>RC boat</x:v>
      </x:c>
      <x:c r="H36" s="15"/>
      <x:c r="I36" s="15"/>
      <x:c r="J36" s="15"/>
      <x:c r="K36" s="15" t="str">
        <x:v>HOLD: connector selection</x:v>
      </x:c>
      <x:c r="L36" s="15" t="str">
        <x:v>One set: correct XT60 distribution-to-small-Tamiya polarity and matching 4 mm motor bullet terminals.</x:v>
      </x:c>
    </x:row>
    <x:row r="37" ht="66" customHeight="1">
      <x:c r="A37" s="13" t="str">
        <x:v>Compatible 2S LiPo balance charger</x:v>
      </x:c>
      <x:c r="B37" s="18" t="n">
        <x:v>1</x:v>
      </x:c>
      <x:c r="C37" s="21"/>
      <x:c r="D37" s="21" t="str">
        <x:f>IF(C37="","",C37*$I$2)</x:f>
      </x:c>
      <x:c r="E37" s="21" t="str">
        <x:f>IF(C37="","",B37*D37)</x:f>
      </x:c>
      <x:c r="F37" s="13" t="str"/>
      <x:c r="G37" s="13" t="str">
        <x:v>Both</x:v>
      </x:c>
      <x:c r="H37" s="13"/>
      <x:c r="I37" s="13"/>
      <x:c r="J37" s="13"/>
      <x:c r="K37" s="13" t="str">
        <x:v>Select / check owned equipment</x:v>
      </x:c>
      <x:c r="L37" s="13" t="str">
        <x:v>External support equipment; omit purchase if already owned. Select compatible charger.</x:v>
      </x:c>
    </x:row>
    <x:row r="38" ht="66" customHeight="1">
      <x:c r="A38" s="13" t="str">
        <x:v>Main hatch continuous shaped gasket, 2 mm</x:v>
      </x:c>
      <x:c r="B38" s="18" t="n">
        <x:v>1</x:v>
      </x:c>
      <x:c r="C38" s="21"/>
      <x:c r="D38" s="21" t="str">
        <x:f>IF(C38="","",C38*$I$2)</x:f>
      </x:c>
      <x:c r="E38" s="21" t="str">
        <x:f>IF(C38="","",B38*D38)</x:f>
      </x:c>
      <x:c r="F38" s="13" t="str"/>
      <x:c r="G38" s="13" t="str">
        <x:v>Both</x:v>
      </x:c>
      <x:c r="H38" s="13"/>
      <x:c r="I38" s="13"/>
      <x:c r="J38" s="13"/>
      <x:c r="K38" s="13" t="str">
        <x:v>Fit verification required</x:v>
      </x:c>
      <x:c r="L38" s="13" t="str">
        <x:v>Use latest shaped outline and 10 holes; verify compression and leak performance.</x:v>
      </x:c>
    </x:row>
    <x:row r="39" ht="66" customHeight="1">
      <x:c r="A39" s="13" t="str">
        <x:v>Hatch M3 x 10 screws</x:v>
      </x:c>
      <x:c r="B39" s="18" t="n">
        <x:v>10</x:v>
      </x:c>
      <x:c r="C39" s="21"/>
      <x:c r="D39" s="21" t="str">
        <x:f>IF(C39="","",C39*$I$2)</x:f>
      </x:c>
      <x:c r="E39" s="21" t="str">
        <x:f>IF(C39="","",B39*D39)</x:f>
      </x:c>
      <x:c r="F39" s="13" t="str"/>
      <x:c r="G39" s="13" t="str">
        <x:v>Both</x:v>
      </x:c>
      <x:c r="H39" s="13"/>
      <x:c r="I39" s="13"/>
      <x:c r="J39" s="13"/>
      <x:c r="K39" s="13" t="str">
        <x:v>Fit verification required</x:v>
      </x:c>
      <x:c r="L39" s="13" t="str">
        <x:v>Starting length for 3 mm cover + 2 mm gasket over blind pilots; verify actual stack. Current ring has pilots, not released insert bores.</x:v>
      </x:c>
    </x:row>
    <x:row r="40" ht="66" customHeight="1">
      <x:c r="A40" s="14" t="str">
        <x:v>Internal probe-cover M3 x 10 screws</x:v>
      </x:c>
      <x:c r="B40" s="19" t="n">
        <x:v>16</x:v>
      </x:c>
      <x:c r="C40" s="22"/>
      <x:c r="D40" s="22" t="str">
        <x:f>IF(C40="","",C40*$I$2)</x:f>
      </x:c>
      <x:c r="E40" s="22" t="str">
        <x:f>IF(C40="","",B40*D40)</x:f>
      </x:c>
      <x:c r="F40" s="14" t="str"/>
      <x:c r="G40" s="14" t="str">
        <x:v>Electricity detection</x:v>
      </x:c>
      <x:c r="H40" s="14"/>
      <x:c r="I40" s="14"/>
      <x:c r="J40" s="14"/>
      <x:c r="K40" s="14" t="str">
        <x:v>Fit verification required</x:v>
      </x:c>
      <x:c r="L40" s="14" t="str">
        <x:v>Updated from M3 x 8 to suit 5 mm covers; nominal 5 mm engagement into 7 mm pilots; verify printed thread life.</x:v>
      </x:c>
    </x:row>
    <x:row r="41" ht="66" customHeight="1">
      <x:c r="A41" s="14" t="str">
        <x:v>Cartridge-retention M3 x 8 screws</x:v>
      </x:c>
      <x:c r="B41" s="19" t="n">
        <x:v>16</x:v>
      </x:c>
      <x:c r="C41" s="22"/>
      <x:c r="D41" s="22" t="str">
        <x:f>IF(C41="","",C41*$I$2)</x:f>
      </x:c>
      <x:c r="E41" s="22" t="str">
        <x:f>IF(C41="","",B41*D41)</x:f>
      </x:c>
      <x:c r="F41" s="14" t="str"/>
      <x:c r="G41" s="14" t="str">
        <x:v>Electricity detection</x:v>
      </x:c>
      <x:c r="H41" s="14"/>
      <x:c r="I41" s="14"/>
      <x:c r="J41" s="14"/>
      <x:c r="K41" s="14" t="str">
        <x:v>Fit verification required</x:v>
      </x:c>
      <x:c r="L41" s="14" t="str">
        <x:v>Rev E1: 3 mm flange + 0.75 mm gasket; 5 mm pilot. M3x8 gives 4.25 mm engagement, 0.75 mm tip gap. Verify.</x:v>
      </x:c>
    </x:row>
    <x:row r="42" ht="66" customHeight="1">
      <x:c r="A42" s="14" t="str">
        <x:v>Probe-servo mounting M2 x 6 screws</x:v>
      </x:c>
      <x:c r="B42" s="19" t="n">
        <x:v>8</x:v>
      </x:c>
      <x:c r="C42" s="22"/>
      <x:c r="D42" s="22" t="str">
        <x:f>IF(C42="","",C42*$I$2)</x:f>
      </x:c>
      <x:c r="E42" s="22" t="str">
        <x:f>IF(C42="","",B42*D42)</x:f>
      </x:c>
      <x:c r="F42" s="14" t="str"/>
      <x:c r="G42" s="14" t="str">
        <x:v>Electricity detection</x:v>
      </x:c>
      <x:c r="H42" s="14"/>
      <x:c r="I42" s="14"/>
      <x:c r="J42" s="14"/>
      <x:c r="K42" s="14" t="str">
        <x:v>Fit verification required</x:v>
      </x:c>
      <x:c r="L42" s="14" t="str">
        <x:v>Starting length; two per servo, verify actual supplied lugs.</x:v>
      </x:c>
    </x:row>
    <x:row r="43" ht="66" customHeight="1">
      <x:c r="A43" s="14" t="str">
        <x:v>Probe regulator M2 x 6 screws</x:v>
      </x:c>
      <x:c r="B43" s="19" t="n">
        <x:v>2</x:v>
      </x:c>
      <x:c r="C43" s="22"/>
      <x:c r="D43" s="22" t="str">
        <x:f>IF(C43="","",C43*$I$2)</x:f>
      </x:c>
      <x:c r="E43" s="22" t="str">
        <x:f>IF(C43="","",B43*D43)</x:f>
      </x:c>
      <x:c r="F43" s="14" t="str"/>
      <x:c r="G43" s="14" t="str">
        <x:v>Electricity detection</x:v>
      </x:c>
      <x:c r="H43" s="14"/>
      <x:c r="I43" s="14"/>
      <x:c r="J43" s="14"/>
      <x:c r="K43" s="14" t="str">
        <x:v>Fit verification required</x:v>
      </x:c>
      <x:c r="L43" s="14" t="str">
        <x:v>Verify board underside and blind-pilot engagement.</x:v>
      </x:c>
    </x:row>
    <x:row r="44" ht="66" customHeight="1">
      <x:c r="A44" s="14" t="str">
        <x:v>ADS1115 M2 x 6 screws</x:v>
      </x:c>
      <x:c r="B44" s="19" t="n">
        <x:v>4</x:v>
      </x:c>
      <x:c r="C44" s="22"/>
      <x:c r="D44" s="22" t="str">
        <x:f>IF(C44="","",C44*$I$2)</x:f>
      </x:c>
      <x:c r="E44" s="22" t="str">
        <x:f>IF(C44="","",B44*D44)</x:f>
      </x:c>
      <x:c r="F44" s="14" t="str"/>
      <x:c r="G44" s="14" t="str">
        <x:v>Electricity detection</x:v>
      </x:c>
      <x:c r="H44" s="14"/>
      <x:c r="I44" s="14"/>
      <x:c r="J44" s="14"/>
      <x:c r="K44" s="14" t="str">
        <x:v>Fit verification required</x:v>
      </x:c>
      <x:c r="L44" s="14" t="str">
        <x:v>Verify board revision, screw heads and pilot fit.</x:v>
      </x:c>
    </x:row>
    <x:row r="45" ht="66" customHeight="1">
      <x:c r="A45" s="13" t="str">
        <x:v>Main electronics tray M3 x 8 screws</x:v>
      </x:c>
      <x:c r="B45" s="18" t="n">
        <x:v>4</x:v>
      </x:c>
      <x:c r="C45" s="21"/>
      <x:c r="D45" s="21" t="str">
        <x:f>IF(C45="","",C45*$I$2)</x:f>
      </x:c>
      <x:c r="E45" s="21" t="str">
        <x:f>IF(C45="","",B45*D45)</x:f>
      </x:c>
      <x:c r="F45" s="13" t="str"/>
      <x:c r="G45" s="13" t="str">
        <x:v>Both</x:v>
      </x:c>
      <x:c r="H45" s="13"/>
      <x:c r="I45" s="13"/>
      <x:c r="J45" s="13"/>
      <x:c r="K45" s="13" t="str">
        <x:v>Fit verification required</x:v>
      </x:c>
      <x:c r="L45" s="13" t="str">
        <x:v>Starting length; removable cassette.</x:v>
      </x:c>
    </x:row>
    <x:row r="46" ht="66" customHeight="1">
      <x:c r="A46" s="13" t="str">
        <x:v>Upper controller bridge M3 x 8 screws</x:v>
      </x:c>
      <x:c r="B46" s="18" t="n">
        <x:v>4</x:v>
      </x:c>
      <x:c r="C46" s="21"/>
      <x:c r="D46" s="21" t="str">
        <x:f>IF(C46="","",C46*$I$2)</x:f>
      </x:c>
      <x:c r="E46" s="21" t="str">
        <x:f>IF(C46="","",B46*D46)</x:f>
      </x:c>
      <x:c r="F46" s="13" t="str"/>
      <x:c r="G46" s="13" t="str">
        <x:v>Both</x:v>
      </x:c>
      <x:c r="H46" s="13"/>
      <x:c r="I46" s="13"/>
      <x:c r="J46" s="13"/>
      <x:c r="K46" s="13" t="str">
        <x:v>Fit verification required</x:v>
      </x:c>
      <x:c r="L46" s="13" t="str">
        <x:v>Starting length; remove before battery lift.</x:v>
      </x:c>
    </x:row>
    <x:row r="47" ht="66" customHeight="1">
      <x:c r="A47" s="13" t="str">
        <x:v>Electronics capture-bridge M3 screws</x:v>
      </x:c>
      <x:c r="B47" s="18" t="n">
        <x:v>8</x:v>
      </x:c>
      <x:c r="C47" s="21"/>
      <x:c r="D47" s="21" t="str">
        <x:f>IF(C47="","",C47*$I$2)</x:f>
      </x:c>
      <x:c r="E47" s="21" t="str">
        <x:f>IF(C47="","",B47*D47)</x:f>
      </x:c>
      <x:c r="F47" s="13" t="str"/>
      <x:c r="G47" s="13" t="str">
        <x:v>Both</x:v>
      </x:c>
      <x:c r="H47" s="13"/>
      <x:c r="I47" s="13"/>
      <x:c r="J47" s="13"/>
      <x:c r="K47" s="13" t="str">
        <x:v>Fit verification required</x:v>
      </x:c>
      <x:c r="L47" s="13" t="str">
        <x:v>Two per bridge; select length from final physical stack.</x:v>
      </x:c>
    </x:row>
    <x:row r="48" ht="66" customHeight="1">
      <x:c r="A48" s="13" t="str">
        <x:v>Battery cradle flush M2 x 6 screws</x:v>
      </x:c>
      <x:c r="B48" s="18" t="n">
        <x:v>4</x:v>
      </x:c>
      <x:c r="C48" s="21"/>
      <x:c r="D48" s="21" t="str">
        <x:f>IF(C48="","",C48*$I$2)</x:f>
      </x:c>
      <x:c r="E48" s="21" t="str">
        <x:f>IF(C48="","",B48*D48)</x:f>
      </x:c>
      <x:c r="F48" s="13" t="str"/>
      <x:c r="G48" s="13" t="str">
        <x:v>Both</x:v>
      </x:c>
      <x:c r="H48" s="13"/>
      <x:c r="I48" s="13"/>
      <x:c r="J48" s="13"/>
      <x:c r="K48" s="13" t="str">
        <x:v>Fit verification required</x:v>
      </x:c>
      <x:c r="L48" s="13" t="str">
        <x:v>Four countersunk locations; heads must remain below battery seating surface. Verify 1 mm nominal pilot tip margin.</x:v>
      </x:c>
    </x:row>
    <x:row r="49" ht="66" customHeight="1">
      <x:c r="A49" s="13" t="str">
        <x:v>Battery retention straps</x:v>
      </x:c>
      <x:c r="B49" s="18" t="n">
        <x:v>2</x:v>
      </x:c>
      <x:c r="C49" s="21"/>
      <x:c r="D49" s="21" t="str">
        <x:f>IF(C49="","",C49*$I$2)</x:f>
      </x:c>
      <x:c r="E49" s="21" t="str">
        <x:f>IF(C49="","",B49*D49)</x:f>
      </x:c>
      <x:c r="F49" s="13" t="str"/>
      <x:c r="G49" s="13" t="str">
        <x:v>Both</x:v>
      </x:c>
      <x:c r="H49" s="13"/>
      <x:c r="I49" s="13"/>
      <x:c r="J49" s="13"/>
      <x:c r="K49" s="13" t="str">
        <x:v>Fit verification required</x:v>
      </x:c>
      <x:c r="L49" s="13" t="str">
        <x:v>Pass through retained slots; do not compress or abrade LiPo pack.</x:v>
      </x:c>
    </x:row>
    <x:row r="50" ht="66" customHeight="1">
      <x:c r="A50" s="15" t="str">
        <x:v>Motor support M3 x 8 screws</x:v>
      </x:c>
      <x:c r="B50" s="20" t="n">
        <x:v>4</x:v>
      </x:c>
      <x:c r="C50" s="23"/>
      <x:c r="D50" s="23" t="str">
        <x:f>IF(C50="","",C50*$I$2)</x:f>
      </x:c>
      <x:c r="E50" s="23" t="str">
        <x:f>IF(C50="","",B50*D50)</x:f>
      </x:c>
      <x:c r="F50" s="15" t="str"/>
      <x:c r="G50" s="15" t="str">
        <x:v>RC boat</x:v>
      </x:c>
      <x:c r="H50" s="15"/>
      <x:c r="I50" s="15"/>
      <x:c r="J50" s="15"/>
      <x:c r="K50" s="15" t="str">
        <x:v>Fit verification required</x:v>
      </x:c>
      <x:c r="L50" s="15" t="str">
        <x:v>Existing bolt positions/grip preserved by reinforcement reliefs.</x:v>
      </x:c>
    </x:row>
    <x:row r="51" ht="66" customHeight="1">
      <x:c r="A51" s="15" t="str">
        <x:v>Motor face M2.6 x 6 screws</x:v>
      </x:c>
      <x:c r="B51" s="20" t="n">
        <x:v>2</x:v>
      </x:c>
      <x:c r="C51" s="23"/>
      <x:c r="D51" s="23" t="str">
        <x:f>IF(C51="","",C51*$I$2)</x:f>
      </x:c>
      <x:c r="E51" s="23" t="str">
        <x:f>IF(C51="","",B51*D51)</x:f>
      </x:c>
      <x:c r="F51" s="15" t="str"/>
      <x:c r="G51" s="15" t="str">
        <x:v>RC boat</x:v>
      </x:c>
      <x:c r="H51" s="15"/>
      <x:c r="I51" s="15"/>
      <x:c r="J51" s="15"/>
      <x:c r="K51" s="15" t="str">
        <x:v>Fit verification required</x:v>
      </x:c>
      <x:c r="L51" s="15" t="str">
        <x:v>Verify Mabuchi maximum screw penetration.</x:v>
      </x:c>
    </x:row>
    <x:row r="52" ht="66" customHeight="1">
      <x:c r="A52" s="15" t="str">
        <x:v>Nonconductive motor cradle liner, 0.4 mm</x:v>
      </x:c>
      <x:c r="B52" s="20" t="n">
        <x:v>1</x:v>
      </x:c>
      <x:c r="C52" s="23"/>
      <x:c r="D52" s="23" t="str">
        <x:f>IF(C52="","",C52*$I$2)</x:f>
      </x:c>
      <x:c r="E52" s="23" t="str">
        <x:f>IF(C52="","",B52*D52)</x:f>
      </x:c>
      <x:c r="F52" s="15" t="str"/>
      <x:c r="G52" s="15" t="str">
        <x:v>RC boat</x:v>
      </x:c>
      <x:c r="H52" s="15"/>
      <x:c r="I52" s="15"/>
      <x:c r="J52" s="15"/>
      <x:c r="K52" s="15" t="str">
        <x:v>Fit verification required</x:v>
      </x:c>
      <x:c r="L52" s="15" t="str">
        <x:v>One fitted liner; temperature and material qualification required.</x:v>
      </x:c>
    </x:row>
    <x:row r="53" ht="66" customHeight="1">
      <x:c r="A53" s="15" t="str">
        <x:v>Steering saddle M3 x 8 screws</x:v>
      </x:c>
      <x:c r="B53" s="20" t="n">
        <x:v>4</x:v>
      </x:c>
      <x:c r="C53" s="23"/>
      <x:c r="D53" s="23" t="str">
        <x:f>IF(C53="","",C53*$I$2)</x:f>
      </x:c>
      <x:c r="E53" s="23" t="str">
        <x:f>IF(C53="","",B53*D53)</x:f>
      </x:c>
      <x:c r="F53" s="15" t="str"/>
      <x:c r="G53" s="15" t="str">
        <x:v>RC boat</x:v>
      </x:c>
      <x:c r="H53" s="15"/>
      <x:c r="I53" s="15"/>
      <x:c r="J53" s="15"/>
      <x:c r="K53" s="15" t="str">
        <x:v>Fit verification required</x:v>
      </x:c>
      <x:c r="L53" s="15" t="str">
        <x:v>Starting length; verify pilot engagement.</x:v>
      </x:c>
    </x:row>
    <x:row r="54" ht="66" customHeight="1">
      <x:c r="A54" s="15" t="str">
        <x:v>Steering servo M2 mounting screws</x:v>
      </x:c>
      <x:c r="B54" s="20" t="n">
        <x:v>2</x:v>
      </x:c>
      <x:c r="C54" s="23"/>
      <x:c r="D54" s="23" t="str">
        <x:f>IF(C54="","",C54*$I$2)</x:f>
      </x:c>
      <x:c r="E54" s="23" t="str">
        <x:f>IF(C54="","",B54*D54)</x:f>
      </x:c>
      <x:c r="F54" s="15" t="str"/>
      <x:c r="G54" s="15" t="str">
        <x:v>RC boat</x:v>
      </x:c>
      <x:c r="H54" s="15"/>
      <x:c r="I54" s="15"/>
      <x:c r="J54" s="15"/>
      <x:c r="K54" s="15" t="str">
        <x:v>Fit verification required</x:v>
      </x:c>
      <x:c r="L54" s="15" t="str">
        <x:v>Select length against actual SG90 lugs and support.</x:v>
      </x:c>
    </x:row>
    <x:row r="55" ht="66" customHeight="1">
      <x:c r="A55" s="15" t="str">
        <x:v>Rudder bracket M3 transom screws</x:v>
      </x:c>
      <x:c r="B55" s="20" t="n">
        <x:v>4</x:v>
      </x:c>
      <x:c r="C55" s="23"/>
      <x:c r="D55" s="23" t="str">
        <x:f>IF(C55="","",C55*$I$2)</x:f>
      </x:c>
      <x:c r="E55" s="23" t="str">
        <x:f>IF(C55="","",B55*D55)</x:f>
      </x:c>
      <x:c r="F55" s="15" t="str"/>
      <x:c r="G55" s="15" t="str">
        <x:v>RC boat</x:v>
      </x:c>
      <x:c r="H55" s="15"/>
      <x:c r="I55" s="15"/>
      <x:c r="J55" s="15"/>
      <x:c r="K55" s="15" t="str">
        <x:v>Fit verification required</x:v>
      </x:c>
      <x:c r="L55" s="15" t="str">
        <x:v>Rev E1: bores stop at X=193 mm, with 3 mm caps. Select length for tip X&gt;=193.75 mm; verify engagement.</x:v>
      </x:c>
    </x:row>
    <x:row r="56" ht="66" customHeight="1">
      <x:c r="A56" s="15" t="str">
        <x:v>Rudder stock, diameter 3 x 86 mm</x:v>
      </x:c>
      <x:c r="B56" s="20" t="n">
        <x:v>1</x:v>
      </x:c>
      <x:c r="C56" s="23"/>
      <x:c r="D56" s="23" t="str">
        <x:f>IF(C56="","",C56*$I$2)</x:f>
      </x:c>
      <x:c r="E56" s="23" t="str">
        <x:f>IF(C56="","",B56*D56)</x:f>
      </x:c>
      <x:c r="F56" s="15" t="str"/>
      <x:c r="G56" s="15" t="str">
        <x:v>RC boat</x:v>
      </x:c>
      <x:c r="H56" s="15"/>
      <x:c r="I56" s="15"/>
      <x:c r="J56" s="15"/>
      <x:c r="K56" s="15" t="str">
        <x:v>Fit verification required</x:v>
      </x:c>
      <x:c r="L56" s="15" t="str">
        <x:v>Metal stock; cross-hole and retention match actual tiller.</x:v>
      </x:c>
    </x:row>
    <x:row r="57" ht="66" customHeight="1">
      <x:c r="A57" s="15" t="str">
        <x:v>Rudder tiller cross-pin, diameter 1.2 x 8 mm</x:v>
      </x:c>
      <x:c r="B57" s="20" t="n">
        <x:v>1</x:v>
      </x:c>
      <x:c r="C57" s="23"/>
      <x:c r="D57" s="23" t="str">
        <x:f>IF(C57="","",C57*$I$2)</x:f>
      </x:c>
      <x:c r="E57" s="23" t="str">
        <x:f>IF(C57="","",B57*D57)</x:f>
      </x:c>
      <x:c r="F57" s="15" t="str"/>
      <x:c r="G57" s="15" t="str">
        <x:v>RC boat</x:v>
      </x:c>
      <x:c r="H57" s="15"/>
      <x:c r="I57" s="15"/>
      <x:c r="J57" s="15"/>
      <x:c r="K57" s="15" t="str">
        <x:v>Fit verification required</x:v>
      </x:c>
      <x:c r="L57" s="15" t="str">
        <x:v>Retain positively; nominal CAD envelope.</x:v>
      </x:c>
    </x:row>
    <x:row r="58" ht="66" customHeight="1">
      <x:c r="A58" s="15" t="str">
        <x:v>Rudder stock stop collar, diameter 8 x 5 mm envelope</x:v>
      </x:c>
      <x:c r="B58" s="20" t="n">
        <x:v>1</x:v>
      </x:c>
      <x:c r="C58" s="23"/>
      <x:c r="D58" s="23" t="str">
        <x:f>IF(C58="","",C58*$I$2)</x:f>
      </x:c>
      <x:c r="E58" s="23" t="str">
        <x:f>IF(C58="","",B58*D58)</x:f>
      </x:c>
      <x:c r="F58" s="15" t="str"/>
      <x:c r="G58" s="15" t="str">
        <x:v>RC boat</x:v>
      </x:c>
      <x:c r="H58" s="15"/>
      <x:c r="I58" s="15"/>
      <x:c r="J58" s="15"/>
      <x:c r="K58" s="15" t="str">
        <x:v>HOLD: collar selection</x:v>
      </x:c>
      <x:c r="L58" s="15" t="str">
        <x:v>Must fit 3 mm stock; actual supplier/locking method not selected.</x:v>
      </x:c>
    </x:row>
    <x:row r="59" ht="66" customHeight="1">
      <x:c r="A59" s="15" t="str">
        <x:v>M2 steering dogleg pushrod and end fittings</x:v>
      </x:c>
      <x:c r="B59" s="20" t="n">
        <x:v>1</x:v>
      </x:c>
      <x:c r="C59" s="23"/>
      <x:c r="D59" s="23" t="str">
        <x:f>IF(C59="","",C59*$I$2)</x:f>
      </x:c>
      <x:c r="E59" s="23" t="str">
        <x:f>IF(C59="","",B59*D59)</x:f>
      </x:c>
      <x:c r="F59" s="15" t="str"/>
      <x:c r="G59" s="15" t="str">
        <x:v>RC boat</x:v>
      </x:c>
      <x:c r="H59" s="15"/>
      <x:c r="I59" s="15"/>
      <x:c r="J59" s="15"/>
      <x:c r="K59" s="15" t="str">
        <x:v>HOLD: linkage validation</x:v>
      </x:c>
      <x:c r="L59" s="15" t="str">
        <x:v>One linkage set; fabrication geometry, stiffness, horn fit and full steering sweep require physical validation.</x:v>
      </x:c>
    </x:row>
    <x:row r="60" ht="66" customHeight="1">
      <x:c r="A60" s="15" t="str">
        <x:v>Steering pushrod bellows / boot</x:v>
      </x:c>
      <x:c r="B60" s="20" t="n">
        <x:v>1</x:v>
      </x:c>
      <x:c r="C60" s="23"/>
      <x:c r="D60" s="23" t="str">
        <x:f>IF(C60="","",C60*$I$2)</x:f>
      </x:c>
      <x:c r="E60" s="23" t="str">
        <x:f>IF(C60="","",B60*D60)</x:f>
      </x:c>
      <x:c r="F60" s="15" t="str"/>
      <x:c r="G60" s="15" t="str">
        <x:v>RC boat</x:v>
      </x:c>
      <x:c r="H60" s="15"/>
      <x:c r="I60" s="15"/>
      <x:c r="J60" s="15"/>
      <x:c r="K60" s="15" t="str">
        <x:v>HOLD: boot selection</x:v>
      </x:c>
      <x:c r="L60" s="15" t="str">
        <x:v>7 mm seat / 10 mm flange envelope; select real water-sealing part and verify travel.</x:v>
      </x:c>
    </x:row>
    <x:row r="61" ht="66" customHeight="1">
      <x:c r="A61" s="15" t="str">
        <x:v>ESC mounting foam, 3 mm</x:v>
      </x:c>
      <x:c r="B61" s="20" t="n">
        <x:v>1</x:v>
      </x:c>
      <x:c r="C61" s="23"/>
      <x:c r="D61" s="23" t="str">
        <x:f>IF(C61="","",C61*$I$2)</x:f>
      </x:c>
      <x:c r="E61" s="23" t="str">
        <x:f>IF(C61="","",B61*D61)</x:f>
      </x:c>
      <x:c r="F61" s="15" t="str"/>
      <x:c r="G61" s="15" t="str">
        <x:v>RC boat</x:v>
      </x:c>
      <x:c r="H61" s="15"/>
      <x:c r="I61" s="15"/>
      <x:c r="J61" s="15"/>
      <x:c r="K61" s="15" t="str">
        <x:v>Fit verification required</x:v>
      </x:c>
      <x:c r="L61" s="15" t="str">
        <x:v>One pad; verify adhesive and temperature compatibility.</x:v>
      </x:c>
    </x:row>
    <x:row r="62" ht="66" customHeight="1">
      <x:c r="A62" s="13" t="str">
        <x:v>Hull coating and stern-tube sealant</x:v>
      </x:c>
      <x:c r="B62" s="18" t="n">
        <x:v>1</x:v>
      </x:c>
      <x:c r="C62" s="21"/>
      <x:c r="D62" s="21" t="str">
        <x:f>IF(C62="","",C62*$I$2)</x:f>
      </x:c>
      <x:c r="E62" s="21" t="str">
        <x:f>IF(C62="","",B62*D62)</x:f>
      </x:c>
      <x:c r="F62" s="13" t="str"/>
      <x:c r="G62" s="13" t="str">
        <x:v>Both</x:v>
      </x:c>
      <x:c r="H62" s="13"/>
      <x:c r="I62" s="13"/>
      <x:c r="J62" s="13"/>
      <x:c r="K62" s="13" t="str">
        <x:v>Fit verification required</x:v>
      </x:c>
      <x:c r="L62" s="13" t="str">
        <x:v>One consumable lot; quantities/process TBD. Qualify FDM porosity and penetrations.</x:v>
      </x:c>
    </x:row>
    <x:row r="63" ht="66" customHeight="1">
      <x:c r="A63" s="13" t="str">
        <x:v>Insulating cable ties / strain relief supplies</x:v>
      </x:c>
      <x:c r="B63" s="18" t="n">
        <x:v>1</x:v>
      </x:c>
      <x:c r="C63" s="21"/>
      <x:c r="D63" s="21" t="str">
        <x:f>IF(C63="","",C63*$I$2)</x:f>
      </x:c>
      <x:c r="E63" s="21" t="str">
        <x:f>IF(C63="","",B63*D63)</x:f>
      </x:c>
      <x:c r="F63" s="13" t="str"/>
      <x:c r="G63" s="13" t="str">
        <x:v>Both</x:v>
      </x:c>
      <x:c r="H63" s="13"/>
      <x:c r="I63" s="13"/>
      <x:c r="J63" s="13"/>
      <x:c r="K63" s="13" t="str">
        <x:v>Fit verification required</x:v>
      </x:c>
      <x:c r="L63" s="13" t="str">
        <x:v>One consumable lot; ties up to 2.5 mm for modeled slots.</x:v>
      </x:c>
    </x:row>
    <x:row r="64" ht="66" customHeight="1">
      <x:c r="A64" s="13" t="str">
        <x:v>PRINT_01 Hull with reinforced probe walls</x:v>
      </x:c>
      <x:c r="B64" s="18" t="n">
        <x:v>1</x:v>
      </x:c>
      <x:c r="C64" s="21"/>
      <x:c r="D64" s="21" t="str">
        <x:f>IF(C64="","",C64*$I$2)</x:f>
      </x:c>
      <x:c r="E64" s="21" t="str">
        <x:f>IF(C64="","",B64*D64)</x:f>
      </x:c>
      <x:c r="F64" s="13" t="str">
        <x:v>docs/RevE1_Changes.md</x:v>
      </x:c>
      <x:c r="G64" s="13" t="str">
        <x:v>Both</x:v>
      </x:c>
      <x:c r="H64" s="13"/>
      <x:c r="I64" s="13"/>
      <x:c r="J64" s="13"/>
      <x:c r="K64" s="13" t="str">
        <x:v>HOLD: new hull export</x:v>
      </x:c>
      <x:c r="L64" s="13" t="str">
        <x:v>Rev E1 repairs wall and blind screw bores; trims obsolete foot. Existing Rev E hull STL is stale.</x:v>
      </x:c>
    </x:row>
    <x:row r="65" ht="66" customHeight="1">
      <x:c r="A65" s="13" t="str">
        <x:v>PRINT_02 Removable hatch</x:v>
      </x:c>
      <x:c r="B65" s="18" t="n">
        <x:v>1</x:v>
      </x:c>
      <x:c r="C65" s="21"/>
      <x:c r="D65" s="21" t="str">
        <x:f>IF(C65="","",C65*$I$2)</x:f>
      </x:c>
      <x:c r="E65" s="21" t="str">
        <x:f>IF(C65="","",B65*D65)</x:f>
      </x:c>
      <x:c r="F65" s="13" t="str">
        <x:v>prints/Print_STLs.zip</x:v>
      </x:c>
      <x:c r="G65" s="13" t="str">
        <x:v>Both</x:v>
      </x:c>
      <x:c r="H65" s="13"/>
      <x:c r="I65" s="13"/>
      <x:c r="J65" s="13"/>
      <x:c r="K65" s="13" t="str">
        <x:v>Print and qualify</x:v>
      </x:c>
      <x:c r="L65" s="13" t="str">
        <x:v>Current Rev-E STL; unfilled insulating PETG fit prototype. Do not scale.</x:v>
      </x:c>
    </x:row>
    <x:row r="66" ht="66" customHeight="1">
      <x:c r="A66" s="13" t="str">
        <x:v>PRINT_03 Main electronics cassette</x:v>
      </x:c>
      <x:c r="B66" s="18" t="n">
        <x:v>1</x:v>
      </x:c>
      <x:c r="C66" s="21"/>
      <x:c r="D66" s="21" t="str">
        <x:f>IF(C66="","",C66*$I$2)</x:f>
      </x:c>
      <x:c r="E66" s="21" t="str">
        <x:f>IF(C66="","",B66*D66)</x:f>
      </x:c>
      <x:c r="F66" s="13" t="str">
        <x:v>prints/Print_STLs.zip</x:v>
      </x:c>
      <x:c r="G66" s="13" t="str">
        <x:v>Both</x:v>
      </x:c>
      <x:c r="H66" s="13"/>
      <x:c r="I66" s="13"/>
      <x:c r="J66" s="13"/>
      <x:c r="K66" s="13" t="str">
        <x:v>Print and qualify</x:v>
      </x:c>
      <x:c r="L66" s="13" t="str">
        <x:v>Current Rev-E STL; unfilled insulating PETG fit prototype. Do not scale.</x:v>
      </x:c>
    </x:row>
    <x:row r="67" ht="66" customHeight="1">
      <x:c r="A67" s="13" t="str">
        <x:v>PRINT_04 Reinforced battery cradle</x:v>
      </x:c>
      <x:c r="B67" s="18" t="n">
        <x:v>1</x:v>
      </x:c>
      <x:c r="C67" s="21"/>
      <x:c r="D67" s="21" t="str">
        <x:f>IF(C67="","",C67*$I$2)</x:f>
      </x:c>
      <x:c r="E67" s="21" t="str">
        <x:f>IF(C67="","",B67*D67)</x:f>
      </x:c>
      <x:c r="F67" s="13" t="str">
        <x:v>prints/Print_STLs.zip</x:v>
      </x:c>
      <x:c r="G67" s="13" t="str">
        <x:v>Both</x:v>
      </x:c>
      <x:c r="H67" s="13"/>
      <x:c r="I67" s="13"/>
      <x:c r="J67" s="13"/>
      <x:c r="K67" s="13" t="str">
        <x:v>Print and qualify</x:v>
      </x:c>
      <x:c r="L67" s="13" t="str">
        <x:v>Current Rev-E STL; unfilled insulating PETG fit prototype. Do not scale.</x:v>
      </x:c>
    </x:row>
    <x:row r="68" ht="66" customHeight="1">
      <x:c r="A68" s="15" t="str">
        <x:v>PRINT_09 Rudder transom bracket</x:v>
      </x:c>
      <x:c r="B68" s="20" t="n">
        <x:v>1</x:v>
      </x:c>
      <x:c r="C68" s="23"/>
      <x:c r="D68" s="23" t="str">
        <x:f>IF(C68="","",C68*$I$2)</x:f>
      </x:c>
      <x:c r="E68" s="23" t="str">
        <x:f>IF(C68="","",B68*D68)</x:f>
      </x:c>
      <x:c r="F68" s="15" t="str">
        <x:v>prints/Print_STLs.zip</x:v>
      </x:c>
      <x:c r="G68" s="15" t="str">
        <x:v>RC boat</x:v>
      </x:c>
      <x:c r="H68" s="15"/>
      <x:c r="I68" s="15"/>
      <x:c r="J68" s="15"/>
      <x:c r="K68" s="15" t="str">
        <x:v>Print and qualify</x:v>
      </x:c>
      <x:c r="L68" s="15" t="str">
        <x:v>Current Rev-E STL; unfilled insulating PETG fit prototype. Do not scale.</x:v>
      </x:c>
    </x:row>
    <x:row r="69" ht="66" customHeight="1">
      <x:c r="A69" s="15" t="str">
        <x:v>PRINT_11 Reinforced motor face mount</x:v>
      </x:c>
      <x:c r="B69" s="20" t="n">
        <x:v>1</x:v>
      </x:c>
      <x:c r="C69" s="23"/>
      <x:c r="D69" s="23" t="str">
        <x:f>IF(C69="","",C69*$I$2)</x:f>
      </x:c>
      <x:c r="E69" s="23" t="str">
        <x:f>IF(C69="","",B69*D69)</x:f>
      </x:c>
      <x:c r="F69" s="15" t="str">
        <x:v>prints/Print_STLs.zip</x:v>
      </x:c>
      <x:c r="G69" s="15" t="str">
        <x:v>RC boat</x:v>
      </x:c>
      <x:c r="H69" s="15"/>
      <x:c r="I69" s="15"/>
      <x:c r="J69" s="15"/>
      <x:c r="K69" s="15" t="str">
        <x:v>Print and qualify</x:v>
      </x:c>
      <x:c r="L69" s="15" t="str">
        <x:v>Current Rev-E STL; unfilled insulating PETG fit prototype. Do not scale.</x:v>
      </x:c>
    </x:row>
    <x:row r="70" ht="66" customHeight="1">
      <x:c r="A70" s="15" t="str">
        <x:v>PRINT_14 Reinforced motor lower cradle</x:v>
      </x:c>
      <x:c r="B70" s="20" t="n">
        <x:v>1</x:v>
      </x:c>
      <x:c r="C70" s="23"/>
      <x:c r="D70" s="23" t="str">
        <x:f>IF(C70="","",C70*$I$2)</x:f>
      </x:c>
      <x:c r="E70" s="23" t="str">
        <x:f>IF(C70="","",B70*D70)</x:f>
      </x:c>
      <x:c r="F70" s="15" t="str">
        <x:v>prints/Print_STLs.zip</x:v>
      </x:c>
      <x:c r="G70" s="15" t="str">
        <x:v>RC boat</x:v>
      </x:c>
      <x:c r="H70" s="15"/>
      <x:c r="I70" s="15"/>
      <x:c r="J70" s="15"/>
      <x:c r="K70" s="15" t="str">
        <x:v>Print and qualify</x:v>
      </x:c>
      <x:c r="L70" s="15" t="str">
        <x:v>Current Rev-E STL; unfilled insulating PETG fit prototype. Do not scale.</x:v>
      </x:c>
    </x:row>
    <x:row r="71" ht="66" customHeight="1">
      <x:c r="A71" s="15" t="str">
        <x:v>PRINT_16 Rudder blade</x:v>
      </x:c>
      <x:c r="B71" s="20" t="n">
        <x:v>1</x:v>
      </x:c>
      <x:c r="C71" s="23"/>
      <x:c r="D71" s="23" t="str">
        <x:f>IF(C71="","",C71*$I$2)</x:f>
      </x:c>
      <x:c r="E71" s="23" t="str">
        <x:f>IF(C71="","",B71*D71)</x:f>
      </x:c>
      <x:c r="F71" s="15" t="str">
        <x:v>prints/Print_STLs.zip</x:v>
      </x:c>
      <x:c r="G71" s="15" t="str">
        <x:v>RC boat</x:v>
      </x:c>
      <x:c r="H71" s="15"/>
      <x:c r="I71" s="15"/>
      <x:c r="J71" s="15"/>
      <x:c r="K71" s="15" t="str">
        <x:v>Print and qualify</x:v>
      </x:c>
      <x:c r="L71" s="15" t="str">
        <x:v>Current Rev-E STL; unfilled insulating PETG fit prototype. Do not scale.</x:v>
      </x:c>
    </x:row>
    <x:row r="72" ht="66" customHeight="1">
      <x:c r="A72" s="15" t="str">
        <x:v>PRINT_17 Rudder tiller</x:v>
      </x:c>
      <x:c r="B72" s="20" t="n">
        <x:v>1</x:v>
      </x:c>
      <x:c r="C72" s="23"/>
      <x:c r="D72" s="23" t="str">
        <x:f>IF(C72="","",C72*$I$2)</x:f>
      </x:c>
      <x:c r="E72" s="23" t="str">
        <x:f>IF(C72="","",B72*D72)</x:f>
      </x:c>
      <x:c r="F72" s="15" t="str">
        <x:v>prints/Print_STLs.zip</x:v>
      </x:c>
      <x:c r="G72" s="15" t="str">
        <x:v>RC boat</x:v>
      </x:c>
      <x:c r="H72" s="15"/>
      <x:c r="I72" s="15"/>
      <x:c r="J72" s="15"/>
      <x:c r="K72" s="15" t="str">
        <x:v>Print and qualify</x:v>
      </x:c>
      <x:c r="L72" s="15" t="str">
        <x:v>Current Rev-E STL; unfilled insulating PETG fit prototype. Do not scale.</x:v>
      </x:c>
    </x:row>
    <x:row r="73" ht="66" customHeight="1">
      <x:c r="A73" s="13" t="str">
        <x:v>PRINT_18 ESP32 capture bridge</x:v>
      </x:c>
      <x:c r="B73" s="18" t="n">
        <x:v>1</x:v>
      </x:c>
      <x:c r="C73" s="21"/>
      <x:c r="D73" s="21" t="str">
        <x:f>IF(C73="","",C73*$I$2)</x:f>
      </x:c>
      <x:c r="E73" s="21" t="str">
        <x:f>IF(C73="","",B73*D73)</x:f>
      </x:c>
      <x:c r="F73" s="13" t="str">
        <x:v>prints/Print_STLs.zip</x:v>
      </x:c>
      <x:c r="G73" s="13" t="str">
        <x:v>Both</x:v>
      </x:c>
      <x:c r="H73" s="13"/>
      <x:c r="I73" s="13"/>
      <x:c r="J73" s="13"/>
      <x:c r="K73" s="13" t="str">
        <x:v>Print and qualify</x:v>
      </x:c>
      <x:c r="L73" s="13" t="str">
        <x:v>Current Rev-E STL; unfilled insulating PETG fit prototype. Do not scale.</x:v>
      </x:c>
    </x:row>
    <x:row r="74" ht="66" customHeight="1">
      <x:c r="A74" s="14" t="str">
        <x:v>PRINT_19 Front-end capture bridge</x:v>
      </x:c>
      <x:c r="B74" s="19" t="n">
        <x:v>1</x:v>
      </x:c>
      <x:c r="C74" s="22"/>
      <x:c r="D74" s="22" t="str">
        <x:f>IF(C74="","",C74*$I$2)</x:f>
      </x:c>
      <x:c r="E74" s="22" t="str">
        <x:f>IF(C74="","",B74*D74)</x:f>
      </x:c>
      <x:c r="F74" s="14" t="str">
        <x:v>prints/Print_STLs.zip</x:v>
      </x:c>
      <x:c r="G74" s="14" t="str">
        <x:v>Electricity detection</x:v>
      </x:c>
      <x:c r="H74" s="14"/>
      <x:c r="I74" s="14"/>
      <x:c r="J74" s="14"/>
      <x:c r="K74" s="14" t="str">
        <x:v>Print and qualify</x:v>
      </x:c>
      <x:c r="L74" s="14" t="str">
        <x:v>Current Rev-E STL; unfilled insulating PETG fit prototype. Do not scale.</x:v>
      </x:c>
    </x:row>
    <x:row r="75" ht="66" customHeight="1">
      <x:c r="A75" s="13" t="str">
        <x:v>PRINT_20 Logic regulator capture bridge</x:v>
      </x:c>
      <x:c r="B75" s="18" t="n">
        <x:v>1</x:v>
      </x:c>
      <x:c r="C75" s="21"/>
      <x:c r="D75" s="21" t="str">
        <x:f>IF(C75="","",C75*$I$2)</x:f>
      </x:c>
      <x:c r="E75" s="21" t="str">
        <x:f>IF(C75="","",B75*D75)</x:f>
      </x:c>
      <x:c r="F75" s="13" t="str">
        <x:v>prints/Print_STLs.zip</x:v>
      </x:c>
      <x:c r="G75" s="13" t="str">
        <x:v>Both</x:v>
      </x:c>
      <x:c r="H75" s="13"/>
      <x:c r="I75" s="13"/>
      <x:c r="J75" s="13"/>
      <x:c r="K75" s="13" t="str">
        <x:v>Print and qualify</x:v>
      </x:c>
      <x:c r="L75" s="13" t="str">
        <x:v>Current Rev-E STL; unfilled insulating PETG fit prototype. Do not scale.</x:v>
      </x:c>
    </x:row>
    <x:row r="76" ht="66" customHeight="1">
      <x:c r="A76" s="15" t="str">
        <x:v>PRINT_21 ESC capture bridge</x:v>
      </x:c>
      <x:c r="B76" s="20" t="n">
        <x:v>1</x:v>
      </x:c>
      <x:c r="C76" s="23"/>
      <x:c r="D76" s="23" t="str">
        <x:f>IF(C76="","",C76*$I$2)</x:f>
      </x:c>
      <x:c r="E76" s="23" t="str">
        <x:f>IF(C76="","",B76*D76)</x:f>
      </x:c>
      <x:c r="F76" s="15" t="str">
        <x:v>prints/Print_STLs.zip</x:v>
      </x:c>
      <x:c r="G76" s="15" t="str">
        <x:v>RC boat</x:v>
      </x:c>
      <x:c r="H76" s="15"/>
      <x:c r="I76" s="15"/>
      <x:c r="J76" s="15"/>
      <x:c r="K76" s="15" t="str">
        <x:v>Print and qualify</x:v>
      </x:c>
      <x:c r="L76" s="15" t="str">
        <x:v>Current Rev-E STL; unfilled insulating PETG fit prototype. Do not scale.</x:v>
      </x:c>
    </x:row>
    <x:row r="77" ht="66" customHeight="1">
      <x:c r="A77" s="14" t="str">
        <x:v>PRINT_22-25 5 mm internal probe-servo covers</x:v>
      </x:c>
      <x:c r="B77" s="19" t="n">
        <x:v>4</x:v>
      </x:c>
      <x:c r="C77" s="22"/>
      <x:c r="D77" s="22" t="str">
        <x:f>IF(C77="","",C77*$I$2)</x:f>
      </x:c>
      <x:c r="E77" s="22" t="str">
        <x:f>IF(C77="","",B77*D77)</x:f>
      </x:c>
      <x:c r="F77" s="14" t="str">
        <x:v>prints/Print_STLs.zip</x:v>
      </x:c>
      <x:c r="G77" s="14" t="str">
        <x:v>Electricity detection</x:v>
      </x:c>
      <x:c r="H77" s="14"/>
      <x:c r="I77" s="14"/>
      <x:c r="J77" s="14"/>
      <x:c r="K77" s="14" t="str">
        <x:v>Print and qualify</x:v>
      </x:c>
      <x:c r="L77" s="14" t="str">
        <x:v>Current Rev-E STL; unfilled insulating PETG fit prototype. Do not scale.</x:v>
      </x:c>
    </x:row>
    <x:row r="78" ht="66" customHeight="1">
      <x:c r="A78" s="14" t="str">
        <x:v>PRINT_26-29 Reinforced 166 mm insulating probe arms</x:v>
      </x:c>
      <x:c r="B78" s="19" t="n">
        <x:v>4</x:v>
      </x:c>
      <x:c r="C78" s="22"/>
      <x:c r="D78" s="22" t="str">
        <x:f>IF(C78="","",C78*$I$2)</x:f>
      </x:c>
      <x:c r="E78" s="22" t="str">
        <x:f>IF(C78="","",B78*D78)</x:f>
      </x:c>
      <x:c r="F78" s="14" t="str">
        <x:v>prints/Print_STLs.zip</x:v>
      </x:c>
      <x:c r="G78" s="14" t="str">
        <x:v>Electricity detection</x:v>
      </x:c>
      <x:c r="H78" s="14"/>
      <x:c r="I78" s="14"/>
      <x:c r="J78" s="14"/>
      <x:c r="K78" s="14" t="str">
        <x:v>Print and qualify</x:v>
      </x:c>
      <x:c r="L78" s="14" t="str">
        <x:v>Current Rev-E STL; unfilled insulating PETG fit prototype. Do not scale.</x:v>
      </x:c>
    </x:row>
    <x:row r="79" ht="66" customHeight="1">
      <x:c r="A79" s="15" t="str">
        <x:v>PRINT_30 Steering service saddle</x:v>
      </x:c>
      <x:c r="B79" s="20" t="n">
        <x:v>1</x:v>
      </x:c>
      <x:c r="C79" s="23"/>
      <x:c r="D79" s="23" t="str">
        <x:f>IF(C79="","",C79*$I$2)</x:f>
      </x:c>
      <x:c r="E79" s="23" t="str">
        <x:f>IF(C79="","",B79*D79)</x:f>
      </x:c>
      <x:c r="F79" s="15" t="str">
        <x:v>prints/Print_STLs.zip</x:v>
      </x:c>
      <x:c r="G79" s="15" t="str">
        <x:v>RC boat</x:v>
      </x:c>
      <x:c r="H79" s="15"/>
      <x:c r="I79" s="15"/>
      <x:c r="J79" s="15"/>
      <x:c r="K79" s="15" t="str">
        <x:v>Print and qualify</x:v>
      </x:c>
      <x:c r="L79" s="15" t="str">
        <x:v>Current Rev-E STL; unfilled insulating PETG fit prototype. Do not scale.</x:v>
      </x:c>
    </x:row>
    <x:row r="80" ht="66" customHeight="1">
      <x:c r="A80" s="13" t="str">
        <x:v>PRINT_31 Upper controller bridge</x:v>
      </x:c>
      <x:c r="B80" s="18" t="n">
        <x:v>1</x:v>
      </x:c>
      <x:c r="C80" s="21"/>
      <x:c r="D80" s="21" t="str">
        <x:f>IF(C80="","",C80*$I$2)</x:f>
      </x:c>
      <x:c r="E80" s="21" t="str">
        <x:f>IF(C80="","",B80*D80)</x:f>
      </x:c>
      <x:c r="F80" s="13" t="str">
        <x:v>prints/Print_STLs.zip</x:v>
      </x:c>
      <x:c r="G80" s="13" t="str">
        <x:v>Both</x:v>
      </x:c>
      <x:c r="H80" s="13"/>
      <x:c r="I80" s="13"/>
      <x:c r="J80" s="13"/>
      <x:c r="K80" s="13" t="str">
        <x:v>Print and qualify</x:v>
      </x:c>
      <x:c r="L80" s="13" t="str">
        <x:v>Current Rev-E STL; unfilled insulating PETG fit prototype. Do not scale.</x:v>
      </x:c>
    </x:row>
  </x:sheetData>
  <x:pageMargins left="0.7" right="0.7" top="0.75" bottom="0.75" header="0.3" footer="0.3"/>
</x:worksheet>
</file>